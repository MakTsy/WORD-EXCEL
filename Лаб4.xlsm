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vlad/Documents/Предметы/Лабы прога/"/>
    </mc:Choice>
  </mc:AlternateContent>
  <xr:revisionPtr revIDLastSave="0" documentId="13_ncr:1_{5A5C6BF2-C5F2-C349-B77F-69CA493795BE}" xr6:coauthVersionLast="36" xr6:coauthVersionMax="36" xr10:uidLastSave="{00000000-0000-0000-0000-000000000000}"/>
  <bookViews>
    <workbookView xWindow="0" yWindow="460" windowWidth="28800" windowHeight="16240" activeTab="3" xr2:uid="{EFC8445B-580C-3E4D-85B1-C88DF5CE0F0D}"/>
  </bookViews>
  <sheets>
    <sheet name="Лист1" sheetId="1" r:id="rId1"/>
    <sheet name="Лист2" sheetId="4" r:id="rId2"/>
    <sheet name="Лист3" sheetId="3" r:id="rId3"/>
    <sheet name="Сводная таблица" sheetId="5" r:id="rId4"/>
    <sheet name="Макрос" sheetId="8" r:id="rId5"/>
  </sheets>
  <definedNames>
    <definedName name="_xlnm._FilterDatabase" localSheetId="0" hidden="1">Лист1!$A$1:$F$25</definedName>
  </definedNames>
  <calcPr calcId="17902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5" l="1"/>
  <c r="F40" i="3" l="1"/>
  <c r="F37" i="3"/>
  <c r="F33" i="3"/>
  <c r="F31" i="3"/>
  <c r="F27" i="3"/>
  <c r="F24" i="3"/>
  <c r="F20" i="3"/>
  <c r="F18" i="3"/>
  <c r="F15" i="3"/>
  <c r="F13" i="3"/>
  <c r="F9" i="3"/>
  <c r="F7" i="3"/>
  <c r="F3" i="3"/>
  <c r="F41" i="3" l="1"/>
  <c r="F28" i="3"/>
  <c r="F16" i="3"/>
  <c r="F42" i="3" s="1"/>
  <c r="F14" i="5"/>
  <c r="F20" i="5"/>
  <c r="F12" i="5"/>
  <c r="F10" i="5"/>
  <c r="F7" i="5"/>
  <c r="F25" i="5"/>
  <c r="F19" i="5"/>
  <c r="F3" i="5"/>
  <c r="F9" i="5"/>
  <c r="F8" i="5"/>
  <c r="F6" i="5"/>
  <c r="F23" i="5"/>
  <c r="F18" i="5"/>
  <c r="F22" i="5"/>
  <c r="F2" i="5"/>
  <c r="F15" i="5"/>
  <c r="F21" i="5"/>
  <c r="F13" i="5"/>
  <c r="F11" i="5"/>
  <c r="F24" i="5"/>
  <c r="F4" i="5"/>
  <c r="F17" i="5"/>
  <c r="F16" i="5"/>
  <c r="F36" i="3"/>
  <c r="F23" i="3"/>
  <c r="F8" i="3"/>
  <c r="F19" i="3"/>
  <c r="F6" i="3"/>
  <c r="F14" i="3"/>
  <c r="F12" i="3"/>
  <c r="F30" i="3"/>
  <c r="F17" i="3"/>
  <c r="F5" i="3"/>
  <c r="F4" i="3"/>
  <c r="F39" i="3"/>
  <c r="F22" i="3"/>
  <c r="F38" i="3"/>
  <c r="F2" i="3"/>
  <c r="F11" i="3"/>
  <c r="F26" i="3"/>
  <c r="F35" i="3"/>
  <c r="F34" i="3"/>
  <c r="F25" i="3"/>
  <c r="F32" i="3"/>
  <c r="F29" i="3"/>
  <c r="F21" i="3"/>
  <c r="F10" i="3"/>
  <c r="F19" i="4"/>
  <c r="F27" i="4"/>
  <c r="F26" i="4"/>
  <c r="F25" i="4"/>
  <c r="F24" i="4"/>
  <c r="F23" i="4"/>
  <c r="F22" i="4"/>
  <c r="F21" i="4"/>
  <c r="F20" i="4"/>
  <c r="F28" i="4" s="1"/>
  <c r="F18" i="4"/>
  <c r="F17" i="4"/>
  <c r="F16" i="4"/>
  <c r="F15" i="4"/>
  <c r="F14" i="4"/>
  <c r="F13" i="4"/>
  <c r="F12" i="4"/>
  <c r="F11" i="4"/>
  <c r="F10" i="4"/>
  <c r="F8" i="4"/>
  <c r="F7" i="4"/>
  <c r="F6" i="4"/>
  <c r="F5" i="4"/>
  <c r="F4" i="4"/>
  <c r="F3" i="4"/>
  <c r="F2" i="4"/>
  <c r="F9" i="4" l="1"/>
  <c r="F29" i="4" s="1"/>
  <c r="F21" i="1"/>
  <c r="F5" i="1"/>
  <c r="F8" i="1"/>
  <c r="F23" i="1"/>
  <c r="F14" i="1"/>
  <c r="F4" i="1"/>
  <c r="F19" i="1"/>
  <c r="F7" i="1"/>
  <c r="F9" i="1"/>
  <c r="F6" i="1"/>
  <c r="F15" i="1"/>
  <c r="F11" i="1"/>
  <c r="F18" i="1"/>
  <c r="F20" i="1"/>
  <c r="F13" i="1"/>
  <c r="F12" i="1"/>
  <c r="F3" i="1"/>
  <c r="F25" i="1"/>
  <c r="F16" i="1"/>
  <c r="F17" i="1"/>
  <c r="F24" i="1"/>
  <c r="F10" i="1"/>
  <c r="F2" i="1"/>
  <c r="F22" i="1"/>
</calcChain>
</file>

<file path=xl/sharedStrings.xml><?xml version="1.0" encoding="utf-8"?>
<sst xmlns="http://schemas.openxmlformats.org/spreadsheetml/2006/main" count="288" uniqueCount="36">
  <si>
    <t>Дата</t>
  </si>
  <si>
    <t>Продавец</t>
  </si>
  <si>
    <t>Товар</t>
  </si>
  <si>
    <t>Цена</t>
  </si>
  <si>
    <t>Количество</t>
  </si>
  <si>
    <t>Стоимость</t>
  </si>
  <si>
    <t>Салоедов</t>
  </si>
  <si>
    <t>Медведь</t>
  </si>
  <si>
    <t>Дудь</t>
  </si>
  <si>
    <t>Сало</t>
  </si>
  <si>
    <t>Медвежий жир</t>
  </si>
  <si>
    <t>Пельмени</t>
  </si>
  <si>
    <t>Картошка</t>
  </si>
  <si>
    <t>Палатки</t>
  </si>
  <si>
    <t>13.03.18 Итог</t>
  </si>
  <si>
    <t>25.07.18 Итог</t>
  </si>
  <si>
    <t>21.09.18 Итог</t>
  </si>
  <si>
    <t>Общий итог</t>
  </si>
  <si>
    <t>Дудь Итог</t>
  </si>
  <si>
    <t>Медведь Итог</t>
  </si>
  <si>
    <t>Салоедов Итог</t>
  </si>
  <si>
    <t>Названия столбцов</t>
  </si>
  <si>
    <t>Сумма по полю Стоимость</t>
  </si>
  <si>
    <t>Названия строк</t>
  </si>
  <si>
    <t>13.март</t>
  </si>
  <si>
    <t>март</t>
  </si>
  <si>
    <t>июль</t>
  </si>
  <si>
    <t>сент</t>
  </si>
  <si>
    <t>25.июль</t>
  </si>
  <si>
    <t>21.сент</t>
  </si>
  <si>
    <t>Запуск макроса - command+option+z</t>
  </si>
  <si>
    <t>Картошка Итог</t>
  </si>
  <si>
    <t>Медвежий жир Итог</t>
  </si>
  <si>
    <t>Палатки Итог</t>
  </si>
  <si>
    <t>Пельмени Итог</t>
  </si>
  <si>
    <t>Сало 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</si>
</sst>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356.529592824074" createdVersion="6" refreshedVersion="6" minRefreshableVersion="3" recordCount="24" xr:uid="{0D54E03D-05F9-C840-AE92-113D29789ADD}">
  <cacheSource type="worksheet">
    <worksheetSource ref="A1:F25" sheet="Сводная таблица"/>
  </cacheSource>
  <cacheFields count="7">
    <cacheField name="Дата" numFmtId="164">
      <sharedItems containsSemiMixedTypes="0" containsNonDate="0" containsDate="1" containsString="0" minDate="2018-03-13T00:00:00" maxDate="2018-09-22T00:00:00" count="3">
        <d v="2018-07-25T00:00:00"/>
        <d v="2018-09-21T00:00:00"/>
        <d v="2018-03-13T00:00:00"/>
      </sharedItems>
      <fieldGroup par="6" base="0">
        <rangePr groupBy="days" startDate="2018-03-13T00:00:00" endDate="2018-09-22T00:00:00"/>
        <groupItems count="368">
          <s v="&lt;13.03.2018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р"/>
          <s v="02.февр"/>
          <s v="03.февр"/>
          <s v="04.февр"/>
          <s v="05.февр"/>
          <s v="06.февр"/>
          <s v="07.февр"/>
          <s v="08.февр"/>
          <s v="09.февр"/>
          <s v="10.февр"/>
          <s v="11.февр"/>
          <s v="12.февр"/>
          <s v="13.февр"/>
          <s v="14.февр"/>
          <s v="15.февр"/>
          <s v="16.февр"/>
          <s v="17.февр"/>
          <s v="18.февр"/>
          <s v="19.февр"/>
          <s v="20.февр"/>
          <s v="21.февр"/>
          <s v="22.февр"/>
          <s v="23.февр"/>
          <s v="24.февр"/>
          <s v="25.февр"/>
          <s v="26.февр"/>
          <s v="27.февр"/>
          <s v="28.февр"/>
          <s v="29.февр"/>
          <s v="01.март"/>
          <s v="02.март"/>
          <s v="03.март"/>
          <s v="04.март"/>
          <s v="05.март"/>
          <s v="06.март"/>
          <s v="07.март"/>
          <s v="08.март"/>
          <s v="09.март"/>
          <s v="10.март"/>
          <s v="11.март"/>
          <s v="12.март"/>
          <s v="13.март"/>
          <s v="14.март"/>
          <s v="15.март"/>
          <s v="16.март"/>
          <s v="17.март"/>
          <s v="18.март"/>
          <s v="19.март"/>
          <s v="20.март"/>
          <s v="21.март"/>
          <s v="22.март"/>
          <s v="23.март"/>
          <s v="24.март"/>
          <s v="25.март"/>
          <s v="26.март"/>
          <s v="27.март"/>
          <s v="28.март"/>
          <s v="29.март"/>
          <s v="30.март"/>
          <s v="31.март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ь"/>
          <s v="02.июнь"/>
          <s v="03.июнь"/>
          <s v="04.июнь"/>
          <s v="05.июнь"/>
          <s v="06.июнь"/>
          <s v="07.июнь"/>
          <s v="08.июнь"/>
          <s v="09.июнь"/>
          <s v="10.июнь"/>
          <s v="11.июнь"/>
          <s v="12.июнь"/>
          <s v="13.июнь"/>
          <s v="14.июнь"/>
          <s v="15.июнь"/>
          <s v="16.июнь"/>
          <s v="17.июнь"/>
          <s v="18.июнь"/>
          <s v="19.июнь"/>
          <s v="20.июнь"/>
          <s v="21.июнь"/>
          <s v="22.июнь"/>
          <s v="23.июнь"/>
          <s v="24.июнь"/>
          <s v="25.июнь"/>
          <s v="26.июнь"/>
          <s v="27.июнь"/>
          <s v="28.июнь"/>
          <s v="29.июнь"/>
          <s v="30.июнь"/>
          <s v="01.июль"/>
          <s v="02.июль"/>
          <s v="03.июль"/>
          <s v="04.июль"/>
          <s v="05.июль"/>
          <s v="06.июль"/>
          <s v="07.июль"/>
          <s v="08.июль"/>
          <s v="09.июль"/>
          <s v="10.июль"/>
          <s v="11.июль"/>
          <s v="12.июль"/>
          <s v="13.июль"/>
          <s v="14.июль"/>
          <s v="15.июль"/>
          <s v="16.июль"/>
          <s v="17.июль"/>
          <s v="18.июль"/>
          <s v="19.июль"/>
          <s v="20.июль"/>
          <s v="21.июль"/>
          <s v="22.июль"/>
          <s v="23.июль"/>
          <s v="24.июль"/>
          <s v="25.июль"/>
          <s v="26.июль"/>
          <s v="27.июль"/>
          <s v="28.июль"/>
          <s v="29.июль"/>
          <s v="30.июль"/>
          <s v="31.июль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т"/>
          <s v="02.сент"/>
          <s v="03.сент"/>
          <s v="04.сент"/>
          <s v="05.сент"/>
          <s v="06.сент"/>
          <s v="07.сент"/>
          <s v="08.сент"/>
          <s v="09.сент"/>
          <s v="10.сент"/>
          <s v="11.сент"/>
          <s v="12.сент"/>
          <s v="13.сент"/>
          <s v="14.сент"/>
          <s v="15.сент"/>
          <s v="16.сент"/>
          <s v="17.сент"/>
          <s v="18.сент"/>
          <s v="19.сент"/>
          <s v="20.сент"/>
          <s v="21.сент"/>
          <s v="22.сент"/>
          <s v="23.сент"/>
          <s v="24.сент"/>
          <s v="25.сент"/>
          <s v="26.сент"/>
          <s v="27.сент"/>
          <s v="28.сент"/>
          <s v="29.сент"/>
          <s v="30.сент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б"/>
          <s v="02.нояб"/>
          <s v="03.нояб"/>
          <s v="04.нояб"/>
          <s v="05.нояб"/>
          <s v="06.нояб"/>
          <s v="07.нояб"/>
          <s v="08.нояб"/>
          <s v="09.нояб"/>
          <s v="10.нояб"/>
          <s v="11.нояб"/>
          <s v="12.нояб"/>
          <s v="13.нояб"/>
          <s v="14.нояб"/>
          <s v="15.нояб"/>
          <s v="16.нояб"/>
          <s v="17.нояб"/>
          <s v="18.нояб"/>
          <s v="19.нояб"/>
          <s v="20.нояб"/>
          <s v="21.нояб"/>
          <s v="22.нояб"/>
          <s v="23.нояб"/>
          <s v="24.нояб"/>
          <s v="25.нояб"/>
          <s v="26.нояб"/>
          <s v="27.нояб"/>
          <s v="28.нояб"/>
          <s v="29.нояб"/>
          <s v="30.нояб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2.09.2018"/>
        </groupItems>
      </fieldGroup>
    </cacheField>
    <cacheField name="Продавец" numFmtId="0">
      <sharedItems count="3">
        <s v="Дудь"/>
        <s v="Салоедов"/>
        <s v="Медведь"/>
      </sharedItems>
    </cacheField>
    <cacheField name="Товар" numFmtId="0">
      <sharedItems count="5">
        <s v="Картошка"/>
        <s v="Медвежий жир"/>
        <s v="Палатки"/>
        <s v="Пельмени"/>
        <s v="Сало"/>
      </sharedItems>
    </cacheField>
    <cacheField name="Цена" numFmtId="0">
      <sharedItems containsSemiMixedTypes="0" containsString="0" containsNumber="1" containsInteger="1" minValue="10" maxValue="55"/>
    </cacheField>
    <cacheField name="Количество" numFmtId="0">
      <sharedItems containsSemiMixedTypes="0" containsString="0" containsNumber="1" containsInteger="1" minValue="7" maxValue="23"/>
    </cacheField>
    <cacheField name="Стоимость" numFmtId="0">
      <sharedItems containsSemiMixedTypes="0" containsString="0" containsNumber="1" containsInteger="1" minValue="91" maxValue="1210" count="22">
        <n v="117"/>
        <n v="144"/>
        <n v="156"/>
        <n v="225"/>
        <n v="264"/>
        <n v="286"/>
        <n v="352"/>
        <n v="437"/>
        <n v="800"/>
        <n v="935"/>
        <n v="1060"/>
        <n v="1210"/>
        <n v="104"/>
        <n v="154"/>
        <n v="182"/>
        <n v="221"/>
        <n v="1150"/>
        <n v="91"/>
        <n v="150"/>
        <n v="230"/>
        <n v="234"/>
        <n v="270"/>
      </sharedItems>
    </cacheField>
    <cacheField name="Месяцы" numFmtId="0" databaseField="0">
      <fieldGroup base="0">
        <rangePr groupBy="months" startDate="2018-03-13T00:00:00" endDate="2018-09-22T00:00:00"/>
        <groupItems count="14">
          <s v="&lt;13.03.2018"/>
          <s v="янв"/>
          <s v="февр"/>
          <s v="март"/>
          <s v="апр"/>
          <s v="май"/>
          <s v="июнь"/>
          <s v="июль"/>
          <s v="авг"/>
          <s v="сент"/>
          <s v="окт"/>
          <s v="нояб"/>
          <s v="дек"/>
          <s v="&gt;22.09.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x v="0"/>
    <n v="13"/>
    <n v="9"/>
    <x v="0"/>
  </r>
  <r>
    <x v="1"/>
    <x v="1"/>
    <x v="0"/>
    <n v="12"/>
    <n v="12"/>
    <x v="1"/>
  </r>
  <r>
    <x v="2"/>
    <x v="1"/>
    <x v="0"/>
    <n v="12"/>
    <n v="13"/>
    <x v="2"/>
  </r>
  <r>
    <x v="2"/>
    <x v="1"/>
    <x v="1"/>
    <n v="25"/>
    <n v="9"/>
    <x v="3"/>
  </r>
  <r>
    <x v="0"/>
    <x v="0"/>
    <x v="1"/>
    <n v="22"/>
    <n v="12"/>
    <x v="4"/>
  </r>
  <r>
    <x v="1"/>
    <x v="0"/>
    <x v="1"/>
    <n v="22"/>
    <n v="13"/>
    <x v="5"/>
  </r>
  <r>
    <x v="0"/>
    <x v="0"/>
    <x v="1"/>
    <n v="22"/>
    <n v="16"/>
    <x v="6"/>
  </r>
  <r>
    <x v="0"/>
    <x v="2"/>
    <x v="1"/>
    <n v="23"/>
    <n v="19"/>
    <x v="7"/>
  </r>
  <r>
    <x v="1"/>
    <x v="2"/>
    <x v="2"/>
    <n v="50"/>
    <n v="16"/>
    <x v="8"/>
  </r>
  <r>
    <x v="2"/>
    <x v="1"/>
    <x v="2"/>
    <n v="55"/>
    <n v="17"/>
    <x v="9"/>
  </r>
  <r>
    <x v="1"/>
    <x v="0"/>
    <x v="2"/>
    <n v="53"/>
    <n v="20"/>
    <x v="10"/>
  </r>
  <r>
    <x v="2"/>
    <x v="1"/>
    <x v="2"/>
    <n v="55"/>
    <n v="22"/>
    <x v="11"/>
  </r>
  <r>
    <x v="1"/>
    <x v="1"/>
    <x v="2"/>
    <n v="55"/>
    <n v="22"/>
    <x v="11"/>
  </r>
  <r>
    <x v="0"/>
    <x v="0"/>
    <x v="3"/>
    <n v="13"/>
    <n v="8"/>
    <x v="12"/>
  </r>
  <r>
    <x v="2"/>
    <x v="0"/>
    <x v="3"/>
    <n v="13"/>
    <n v="9"/>
    <x v="0"/>
  </r>
  <r>
    <x v="2"/>
    <x v="2"/>
    <x v="3"/>
    <n v="14"/>
    <n v="11"/>
    <x v="13"/>
  </r>
  <r>
    <x v="0"/>
    <x v="2"/>
    <x v="3"/>
    <n v="14"/>
    <n v="13"/>
    <x v="14"/>
  </r>
  <r>
    <x v="1"/>
    <x v="0"/>
    <x v="3"/>
    <n v="13"/>
    <n v="17"/>
    <x v="15"/>
  </r>
  <r>
    <x v="1"/>
    <x v="2"/>
    <x v="3"/>
    <n v="50"/>
    <n v="23"/>
    <x v="16"/>
  </r>
  <r>
    <x v="0"/>
    <x v="2"/>
    <x v="4"/>
    <n v="13"/>
    <n v="7"/>
    <x v="17"/>
  </r>
  <r>
    <x v="0"/>
    <x v="1"/>
    <x v="4"/>
    <n v="10"/>
    <n v="15"/>
    <x v="18"/>
  </r>
  <r>
    <x v="0"/>
    <x v="1"/>
    <x v="4"/>
    <n v="10"/>
    <n v="23"/>
    <x v="19"/>
  </r>
  <r>
    <x v="2"/>
    <x v="2"/>
    <x v="4"/>
    <n v="13"/>
    <n v="18"/>
    <x v="20"/>
  </r>
  <r>
    <x v="1"/>
    <x v="0"/>
    <x v="4"/>
    <n v="18"/>
    <n v="15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62EF9-33A8-5843-9EC2-62F571E702A7}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rowHeaderCaption="Товар">
  <location ref="H2:L9" firstHeaderRow="1" firstDataRow="2" firstDataCol="1"/>
  <pivotFields count="7">
    <pivotField axis="axisRow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4">
        <item x="0"/>
        <item x="2"/>
        <item x="1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  <pivotField showAll="0"/>
    <pivotField showAll="0"/>
    <pivotField dataField="1" showAll="0"/>
    <pivotField axis="axisRow" showAll="0">
      <items count="15">
        <item sd="0" x="0"/>
        <item sd="0" x="1"/>
        <item sd="0" x="2"/>
        <item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"/>
    <field x="6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Сумма по полю Стоимость" fld="5" baseField="0" baseItem="0"/>
  </dataField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41216D-ABFD-314F-A799-388CC879ADC0}" name="Сводная таблица2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N2:R23" firstHeaderRow="1" firstDataRow="3" firstDataCol="1"/>
  <pivotFields count="7">
    <pivotField axis="axisCol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axis="axisCol" showAll="0" defaultSubtotal="0">
      <items count="14">
        <item sd="0" x="0"/>
        <item sd="0" x="1"/>
        <item sd="0" x="2"/>
        <item x="3"/>
        <item sd="0" x="4"/>
        <item sd="0" x="5"/>
        <item sd="0" x="6"/>
        <item x="7"/>
        <item sd="0" x="8"/>
        <item x="9"/>
        <item sd="0" x="10"/>
        <item sd="0" x="11"/>
        <item sd="0" x="12"/>
        <item sd="0" x="13"/>
      </items>
    </pivotField>
  </pivotFields>
  <rowFields count="2">
    <field x="2"/>
    <field x="1"/>
  </rowFields>
  <rowItems count="19">
    <i>
      <x/>
    </i>
    <i r="1">
      <x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>
      <x v="4"/>
    </i>
    <i r="1">
      <x/>
    </i>
    <i r="1">
      <x v="1"/>
    </i>
    <i r="1">
      <x v="2"/>
    </i>
    <i t="grand">
      <x/>
    </i>
  </rowItems>
  <colFields count="2">
    <field x="6"/>
    <field x="0"/>
  </colFields>
  <colItems count="4">
    <i>
      <x v="3"/>
      <x v="73"/>
    </i>
    <i>
      <x v="7"/>
      <x v="207"/>
    </i>
    <i>
      <x v="9"/>
      <x v="265"/>
    </i>
    <i t="grand">
      <x/>
    </i>
  </colItems>
  <dataFields count="1">
    <dataField name="Сумма по полю Стоимость" fld="5" baseField="0" baseItem="0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A628C-E1D6-C241-9EA6-5C6E781C72E3}">
  <sheetPr codeName="Лист1"/>
  <dimension ref="A1:N26"/>
  <sheetViews>
    <sheetView zoomScale="135" zoomScaleNormal="135" workbookViewId="0">
      <selection sqref="A1:F25"/>
    </sheetView>
  </sheetViews>
  <sheetFormatPr baseColWidth="10" defaultRowHeight="16" x14ac:dyDescent="0.2"/>
  <cols>
    <col min="1" max="1" width="8.1640625" bestFit="1" customWidth="1"/>
    <col min="2" max="2" width="9.6640625" bestFit="1" customWidth="1"/>
    <col min="3" max="3" width="14.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 t="s">
        <v>6</v>
      </c>
      <c r="M1" t="s">
        <v>7</v>
      </c>
      <c r="N1" t="s">
        <v>8</v>
      </c>
    </row>
    <row r="2" spans="1:14" x14ac:dyDescent="0.2">
      <c r="A2" s="1">
        <v>43172</v>
      </c>
      <c r="B2" t="s">
        <v>7</v>
      </c>
      <c r="C2" t="s">
        <v>11</v>
      </c>
      <c r="D2">
        <v>14</v>
      </c>
      <c r="E2">
        <v>11</v>
      </c>
      <c r="F2">
        <f t="shared" ref="F2:F25" si="0">D2*E2</f>
        <v>154</v>
      </c>
      <c r="K2" t="s">
        <v>9</v>
      </c>
      <c r="L2">
        <v>10</v>
      </c>
      <c r="M2">
        <v>13</v>
      </c>
      <c r="N2">
        <v>18</v>
      </c>
    </row>
    <row r="3" spans="1:14" x14ac:dyDescent="0.2">
      <c r="A3" s="1">
        <v>43172</v>
      </c>
      <c r="B3" t="s">
        <v>6</v>
      </c>
      <c r="C3" t="s">
        <v>12</v>
      </c>
      <c r="D3">
        <v>12</v>
      </c>
      <c r="E3">
        <v>13</v>
      </c>
      <c r="F3">
        <f t="shared" si="0"/>
        <v>156</v>
      </c>
      <c r="K3" t="s">
        <v>11</v>
      </c>
      <c r="L3">
        <v>13</v>
      </c>
      <c r="M3">
        <v>14</v>
      </c>
      <c r="N3">
        <v>13</v>
      </c>
    </row>
    <row r="4" spans="1:14" x14ac:dyDescent="0.2">
      <c r="A4" s="1">
        <v>43172</v>
      </c>
      <c r="B4" t="s">
        <v>6</v>
      </c>
      <c r="C4" t="s">
        <v>10</v>
      </c>
      <c r="D4">
        <v>25</v>
      </c>
      <c r="E4">
        <v>9</v>
      </c>
      <c r="F4">
        <f t="shared" si="0"/>
        <v>225</v>
      </c>
      <c r="K4" t="s">
        <v>10</v>
      </c>
      <c r="L4">
        <v>25</v>
      </c>
      <c r="M4">
        <v>23</v>
      </c>
      <c r="N4">
        <v>22</v>
      </c>
    </row>
    <row r="5" spans="1:14" x14ac:dyDescent="0.2">
      <c r="A5" s="1">
        <v>43172</v>
      </c>
      <c r="B5" t="s">
        <v>7</v>
      </c>
      <c r="C5" t="s">
        <v>9</v>
      </c>
      <c r="D5">
        <v>13</v>
      </c>
      <c r="E5">
        <v>18</v>
      </c>
      <c r="F5">
        <f t="shared" si="0"/>
        <v>234</v>
      </c>
      <c r="K5" t="s">
        <v>12</v>
      </c>
      <c r="L5">
        <v>12</v>
      </c>
      <c r="M5">
        <v>11</v>
      </c>
      <c r="N5">
        <v>13</v>
      </c>
    </row>
    <row r="6" spans="1:14" x14ac:dyDescent="0.2">
      <c r="A6" s="1">
        <v>43172</v>
      </c>
      <c r="B6" t="s">
        <v>6</v>
      </c>
      <c r="C6" t="s">
        <v>13</v>
      </c>
      <c r="D6">
        <v>55</v>
      </c>
      <c r="E6">
        <v>17</v>
      </c>
      <c r="F6">
        <f t="shared" si="0"/>
        <v>935</v>
      </c>
      <c r="K6" t="s">
        <v>13</v>
      </c>
      <c r="L6">
        <v>55</v>
      </c>
      <c r="M6">
        <v>50</v>
      </c>
      <c r="N6">
        <v>53</v>
      </c>
    </row>
    <row r="7" spans="1:14" x14ac:dyDescent="0.2">
      <c r="A7" s="1">
        <v>43172</v>
      </c>
      <c r="B7" t="s">
        <v>6</v>
      </c>
      <c r="C7" t="s">
        <v>13</v>
      </c>
      <c r="D7">
        <v>55</v>
      </c>
      <c r="E7">
        <v>22</v>
      </c>
      <c r="F7">
        <f t="shared" si="0"/>
        <v>1210</v>
      </c>
    </row>
    <row r="8" spans="1:14" x14ac:dyDescent="0.2">
      <c r="A8" s="1">
        <v>43306</v>
      </c>
      <c r="B8" t="s">
        <v>8</v>
      </c>
      <c r="C8" t="s">
        <v>11</v>
      </c>
      <c r="D8">
        <v>13</v>
      </c>
      <c r="E8">
        <v>9</v>
      </c>
      <c r="F8">
        <f t="shared" si="0"/>
        <v>117</v>
      </c>
    </row>
    <row r="9" spans="1:14" x14ac:dyDescent="0.2">
      <c r="A9" s="1">
        <v>43306</v>
      </c>
      <c r="B9" t="s">
        <v>7</v>
      </c>
      <c r="C9" t="s">
        <v>9</v>
      </c>
      <c r="D9">
        <v>13</v>
      </c>
      <c r="E9">
        <v>7</v>
      </c>
      <c r="F9">
        <f t="shared" si="0"/>
        <v>91</v>
      </c>
    </row>
    <row r="10" spans="1:14" x14ac:dyDescent="0.2">
      <c r="A10" s="1">
        <v>43306</v>
      </c>
      <c r="B10" t="s">
        <v>8</v>
      </c>
      <c r="C10" t="s">
        <v>11</v>
      </c>
      <c r="D10">
        <v>13</v>
      </c>
      <c r="E10">
        <v>8</v>
      </c>
      <c r="F10">
        <f t="shared" si="0"/>
        <v>104</v>
      </c>
    </row>
    <row r="11" spans="1:14" x14ac:dyDescent="0.2">
      <c r="A11" s="1">
        <v>43306</v>
      </c>
      <c r="B11" t="s">
        <v>8</v>
      </c>
      <c r="C11" t="s">
        <v>12</v>
      </c>
      <c r="D11">
        <v>13</v>
      </c>
      <c r="E11">
        <v>9</v>
      </c>
      <c r="F11">
        <f t="shared" si="0"/>
        <v>117</v>
      </c>
    </row>
    <row r="12" spans="1:14" x14ac:dyDescent="0.2">
      <c r="A12" s="1">
        <v>43306</v>
      </c>
      <c r="B12" t="s">
        <v>6</v>
      </c>
      <c r="C12" t="s">
        <v>9</v>
      </c>
      <c r="D12">
        <v>10</v>
      </c>
      <c r="E12">
        <v>15</v>
      </c>
      <c r="F12">
        <f t="shared" si="0"/>
        <v>150</v>
      </c>
    </row>
    <row r="13" spans="1:14" x14ac:dyDescent="0.2">
      <c r="A13" s="1">
        <v>43306</v>
      </c>
      <c r="B13" t="s">
        <v>7</v>
      </c>
      <c r="C13" t="s">
        <v>11</v>
      </c>
      <c r="D13">
        <v>14</v>
      </c>
      <c r="E13">
        <v>13</v>
      </c>
      <c r="F13">
        <f t="shared" si="0"/>
        <v>182</v>
      </c>
    </row>
    <row r="14" spans="1:14" x14ac:dyDescent="0.2">
      <c r="A14" s="1">
        <v>43306</v>
      </c>
      <c r="B14" t="s">
        <v>6</v>
      </c>
      <c r="C14" t="s">
        <v>9</v>
      </c>
      <c r="D14">
        <v>10</v>
      </c>
      <c r="E14">
        <v>23</v>
      </c>
      <c r="F14">
        <f t="shared" si="0"/>
        <v>230</v>
      </c>
    </row>
    <row r="15" spans="1:14" x14ac:dyDescent="0.2">
      <c r="A15" s="1">
        <v>43306</v>
      </c>
      <c r="B15" t="s">
        <v>8</v>
      </c>
      <c r="C15" t="s">
        <v>10</v>
      </c>
      <c r="D15">
        <v>22</v>
      </c>
      <c r="E15">
        <v>12</v>
      </c>
      <c r="F15">
        <f t="shared" si="0"/>
        <v>264</v>
      </c>
    </row>
    <row r="16" spans="1:14" x14ac:dyDescent="0.2">
      <c r="A16" s="1">
        <v>43306</v>
      </c>
      <c r="B16" t="s">
        <v>8</v>
      </c>
      <c r="C16" t="s">
        <v>10</v>
      </c>
      <c r="D16">
        <v>22</v>
      </c>
      <c r="E16">
        <v>16</v>
      </c>
      <c r="F16">
        <f t="shared" si="0"/>
        <v>352</v>
      </c>
    </row>
    <row r="17" spans="1:6" x14ac:dyDescent="0.2">
      <c r="A17" s="1">
        <v>43306</v>
      </c>
      <c r="B17" t="s">
        <v>7</v>
      </c>
      <c r="C17" t="s">
        <v>10</v>
      </c>
      <c r="D17">
        <v>23</v>
      </c>
      <c r="E17">
        <v>19</v>
      </c>
      <c r="F17">
        <f t="shared" si="0"/>
        <v>437</v>
      </c>
    </row>
    <row r="18" spans="1:6" x14ac:dyDescent="0.2">
      <c r="A18" s="1">
        <v>43364</v>
      </c>
      <c r="B18" t="s">
        <v>6</v>
      </c>
      <c r="C18" t="s">
        <v>12</v>
      </c>
      <c r="D18">
        <v>12</v>
      </c>
      <c r="E18">
        <v>12</v>
      </c>
      <c r="F18">
        <f t="shared" si="0"/>
        <v>144</v>
      </c>
    </row>
    <row r="19" spans="1:6" x14ac:dyDescent="0.2">
      <c r="A19" s="1">
        <v>43364</v>
      </c>
      <c r="B19" t="s">
        <v>8</v>
      </c>
      <c r="C19" t="s">
        <v>11</v>
      </c>
      <c r="D19">
        <v>13</v>
      </c>
      <c r="E19">
        <v>17</v>
      </c>
      <c r="F19">
        <f t="shared" si="0"/>
        <v>221</v>
      </c>
    </row>
    <row r="20" spans="1:6" x14ac:dyDescent="0.2">
      <c r="A20" s="1">
        <v>43364</v>
      </c>
      <c r="B20" t="s">
        <v>8</v>
      </c>
      <c r="C20" t="s">
        <v>9</v>
      </c>
      <c r="D20">
        <v>18</v>
      </c>
      <c r="E20">
        <v>15</v>
      </c>
      <c r="F20">
        <f t="shared" si="0"/>
        <v>270</v>
      </c>
    </row>
    <row r="21" spans="1:6" x14ac:dyDescent="0.2">
      <c r="A21" s="1">
        <v>43364</v>
      </c>
      <c r="B21" t="s">
        <v>8</v>
      </c>
      <c r="C21" t="s">
        <v>10</v>
      </c>
      <c r="D21">
        <v>22</v>
      </c>
      <c r="E21">
        <v>13</v>
      </c>
      <c r="F21">
        <f t="shared" si="0"/>
        <v>286</v>
      </c>
    </row>
    <row r="22" spans="1:6" x14ac:dyDescent="0.2">
      <c r="A22" s="1">
        <v>43364</v>
      </c>
      <c r="B22" t="s">
        <v>7</v>
      </c>
      <c r="C22" t="s">
        <v>13</v>
      </c>
      <c r="D22">
        <v>50</v>
      </c>
      <c r="E22">
        <v>16</v>
      </c>
      <c r="F22">
        <f t="shared" si="0"/>
        <v>800</v>
      </c>
    </row>
    <row r="23" spans="1:6" x14ac:dyDescent="0.2">
      <c r="A23" s="1">
        <v>43364</v>
      </c>
      <c r="B23" t="s">
        <v>8</v>
      </c>
      <c r="C23" t="s">
        <v>13</v>
      </c>
      <c r="D23">
        <v>53</v>
      </c>
      <c r="E23">
        <v>20</v>
      </c>
      <c r="F23">
        <f t="shared" si="0"/>
        <v>1060</v>
      </c>
    </row>
    <row r="24" spans="1:6" x14ac:dyDescent="0.2">
      <c r="A24" s="1">
        <v>43364</v>
      </c>
      <c r="B24" t="s">
        <v>7</v>
      </c>
      <c r="C24" t="s">
        <v>11</v>
      </c>
      <c r="D24">
        <v>50</v>
      </c>
      <c r="E24">
        <v>23</v>
      </c>
      <c r="F24">
        <f t="shared" si="0"/>
        <v>1150</v>
      </c>
    </row>
    <row r="25" spans="1:6" x14ac:dyDescent="0.2">
      <c r="A25" s="1">
        <v>43364</v>
      </c>
      <c r="B25" t="s">
        <v>6</v>
      </c>
      <c r="C25" t="s">
        <v>13</v>
      </c>
      <c r="D25">
        <v>55</v>
      </c>
      <c r="E25">
        <v>22</v>
      </c>
      <c r="F25">
        <f t="shared" si="0"/>
        <v>1210</v>
      </c>
    </row>
    <row r="26" spans="1:6" x14ac:dyDescent="0.2">
      <c r="C26" s="1"/>
    </row>
  </sheetData>
  <sortState ref="A2:F25">
    <sortCondition ref="A2:A25"/>
  </sortState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766-8971-064F-95C8-89A1F507D78D}">
  <sheetPr codeName="Лист2"/>
  <dimension ref="A1:G41"/>
  <sheetViews>
    <sheetView zoomScale="159" workbookViewId="0">
      <selection activeCell="G12" sqref="G12"/>
    </sheetView>
  </sheetViews>
  <sheetFormatPr baseColWidth="10" defaultRowHeight="16" outlineLevelRow="2" x14ac:dyDescent="0.2"/>
  <cols>
    <col min="2" max="2" width="19.3320312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outlineLevel="2" x14ac:dyDescent="0.2">
      <c r="A2" s="1">
        <v>43172</v>
      </c>
      <c r="B2" t="s">
        <v>8</v>
      </c>
      <c r="C2" t="s">
        <v>11</v>
      </c>
      <c r="D2">
        <v>13</v>
      </c>
      <c r="E2">
        <v>9</v>
      </c>
      <c r="F2">
        <f t="shared" ref="F2:F8" si="0">D2*E2</f>
        <v>117</v>
      </c>
    </row>
    <row r="3" spans="1:6" outlineLevel="2" x14ac:dyDescent="0.2">
      <c r="A3" s="1">
        <v>43172</v>
      </c>
      <c r="B3" t="s">
        <v>7</v>
      </c>
      <c r="C3" t="s">
        <v>11</v>
      </c>
      <c r="D3">
        <v>14</v>
      </c>
      <c r="E3">
        <v>11</v>
      </c>
      <c r="F3">
        <f t="shared" si="0"/>
        <v>154</v>
      </c>
    </row>
    <row r="4" spans="1:6" outlineLevel="2" x14ac:dyDescent="0.2">
      <c r="A4" s="1">
        <v>43172</v>
      </c>
      <c r="B4" t="s">
        <v>6</v>
      </c>
      <c r="C4" t="s">
        <v>12</v>
      </c>
      <c r="D4">
        <v>12</v>
      </c>
      <c r="E4">
        <v>13</v>
      </c>
      <c r="F4">
        <f t="shared" si="0"/>
        <v>156</v>
      </c>
    </row>
    <row r="5" spans="1:6" outlineLevel="2" x14ac:dyDescent="0.2">
      <c r="A5" s="1">
        <v>43172</v>
      </c>
      <c r="B5" t="s">
        <v>6</v>
      </c>
      <c r="C5" t="s">
        <v>10</v>
      </c>
      <c r="D5">
        <v>25</v>
      </c>
      <c r="E5">
        <v>9</v>
      </c>
      <c r="F5">
        <f t="shared" si="0"/>
        <v>225</v>
      </c>
    </row>
    <row r="6" spans="1:6" outlineLevel="2" x14ac:dyDescent="0.2">
      <c r="A6" s="1">
        <v>43172</v>
      </c>
      <c r="B6" t="s">
        <v>7</v>
      </c>
      <c r="C6" s="1" t="s">
        <v>9</v>
      </c>
      <c r="D6">
        <v>13</v>
      </c>
      <c r="E6">
        <v>18</v>
      </c>
      <c r="F6">
        <f t="shared" si="0"/>
        <v>234</v>
      </c>
    </row>
    <row r="7" spans="1:6" outlineLevel="2" x14ac:dyDescent="0.2">
      <c r="A7" s="1">
        <v>43172</v>
      </c>
      <c r="B7" t="s">
        <v>6</v>
      </c>
      <c r="C7" s="1" t="s">
        <v>13</v>
      </c>
      <c r="D7">
        <v>55</v>
      </c>
      <c r="E7">
        <v>17</v>
      </c>
      <c r="F7">
        <f t="shared" si="0"/>
        <v>935</v>
      </c>
    </row>
    <row r="8" spans="1:6" outlineLevel="2" x14ac:dyDescent="0.2">
      <c r="A8" s="1">
        <v>43172</v>
      </c>
      <c r="B8" t="s">
        <v>6</v>
      </c>
      <c r="C8" s="1" t="s">
        <v>13</v>
      </c>
      <c r="D8">
        <v>55</v>
      </c>
      <c r="E8">
        <v>22</v>
      </c>
      <c r="F8">
        <f t="shared" si="0"/>
        <v>1210</v>
      </c>
    </row>
    <row r="9" spans="1:6" outlineLevel="1" x14ac:dyDescent="0.2">
      <c r="A9" s="3" t="s">
        <v>14</v>
      </c>
      <c r="C9" s="1"/>
      <c r="F9">
        <f>SUBTOTAL(9,F2:F8)</f>
        <v>3031</v>
      </c>
    </row>
    <row r="10" spans="1:6" outlineLevel="2" x14ac:dyDescent="0.2">
      <c r="A10" s="1">
        <v>43306</v>
      </c>
      <c r="B10" t="s">
        <v>7</v>
      </c>
      <c r="C10" s="1" t="s">
        <v>9</v>
      </c>
      <c r="D10">
        <v>13</v>
      </c>
      <c r="E10">
        <v>7</v>
      </c>
      <c r="F10">
        <f t="shared" ref="F10:F18" si="1">D10*E10</f>
        <v>91</v>
      </c>
    </row>
    <row r="11" spans="1:6" outlineLevel="2" x14ac:dyDescent="0.2">
      <c r="A11" s="1">
        <v>43306</v>
      </c>
      <c r="B11" t="s">
        <v>8</v>
      </c>
      <c r="C11" s="1" t="s">
        <v>11</v>
      </c>
      <c r="D11">
        <v>13</v>
      </c>
      <c r="E11">
        <v>8</v>
      </c>
      <c r="F11">
        <f t="shared" si="1"/>
        <v>104</v>
      </c>
    </row>
    <row r="12" spans="1:6" outlineLevel="2" x14ac:dyDescent="0.2">
      <c r="A12" s="1">
        <v>43306</v>
      </c>
      <c r="B12" t="s">
        <v>8</v>
      </c>
      <c r="C12" s="1" t="s">
        <v>12</v>
      </c>
      <c r="D12">
        <v>13</v>
      </c>
      <c r="E12">
        <v>9</v>
      </c>
      <c r="F12">
        <f t="shared" si="1"/>
        <v>117</v>
      </c>
    </row>
    <row r="13" spans="1:6" outlineLevel="2" x14ac:dyDescent="0.2">
      <c r="A13" s="1">
        <v>43306</v>
      </c>
      <c r="B13" t="s">
        <v>6</v>
      </c>
      <c r="C13" s="1" t="s">
        <v>9</v>
      </c>
      <c r="D13">
        <v>10</v>
      </c>
      <c r="E13">
        <v>15</v>
      </c>
      <c r="F13">
        <f t="shared" si="1"/>
        <v>150</v>
      </c>
    </row>
    <row r="14" spans="1:6" outlineLevel="2" x14ac:dyDescent="0.2">
      <c r="A14" s="1">
        <v>43306</v>
      </c>
      <c r="B14" t="s">
        <v>7</v>
      </c>
      <c r="C14" s="1" t="s">
        <v>11</v>
      </c>
      <c r="D14">
        <v>14</v>
      </c>
      <c r="E14">
        <v>13</v>
      </c>
      <c r="F14">
        <f t="shared" si="1"/>
        <v>182</v>
      </c>
    </row>
    <row r="15" spans="1:6" outlineLevel="2" x14ac:dyDescent="0.2">
      <c r="A15" s="1">
        <v>43306</v>
      </c>
      <c r="B15" t="s">
        <v>6</v>
      </c>
      <c r="C15" s="1" t="s">
        <v>9</v>
      </c>
      <c r="D15">
        <v>10</v>
      </c>
      <c r="E15">
        <v>23</v>
      </c>
      <c r="F15">
        <f t="shared" si="1"/>
        <v>230</v>
      </c>
    </row>
    <row r="16" spans="1:6" outlineLevel="2" x14ac:dyDescent="0.2">
      <c r="A16" s="1">
        <v>43306</v>
      </c>
      <c r="B16" t="s">
        <v>8</v>
      </c>
      <c r="C16" s="1" t="s">
        <v>10</v>
      </c>
      <c r="D16">
        <v>22</v>
      </c>
      <c r="E16">
        <v>12</v>
      </c>
      <c r="F16">
        <f t="shared" si="1"/>
        <v>264</v>
      </c>
    </row>
    <row r="17" spans="1:6" outlineLevel="2" x14ac:dyDescent="0.2">
      <c r="A17" s="1">
        <v>43306</v>
      </c>
      <c r="B17" t="s">
        <v>8</v>
      </c>
      <c r="C17" s="1" t="s">
        <v>10</v>
      </c>
      <c r="D17">
        <v>22</v>
      </c>
      <c r="E17">
        <v>16</v>
      </c>
      <c r="F17">
        <f t="shared" si="1"/>
        <v>352</v>
      </c>
    </row>
    <row r="18" spans="1:6" outlineLevel="2" x14ac:dyDescent="0.2">
      <c r="A18" s="1">
        <v>43306</v>
      </c>
      <c r="B18" t="s">
        <v>7</v>
      </c>
      <c r="C18" s="1" t="s">
        <v>10</v>
      </c>
      <c r="D18">
        <v>23</v>
      </c>
      <c r="E18">
        <v>19</v>
      </c>
      <c r="F18">
        <f t="shared" si="1"/>
        <v>437</v>
      </c>
    </row>
    <row r="19" spans="1:6" outlineLevel="1" x14ac:dyDescent="0.2">
      <c r="A19" s="3" t="s">
        <v>15</v>
      </c>
      <c r="C19" s="1"/>
      <c r="F19">
        <f>SUBTOTAL(9,F10:F18)</f>
        <v>1927</v>
      </c>
    </row>
    <row r="20" spans="1:6" outlineLevel="2" x14ac:dyDescent="0.2">
      <c r="A20" s="1">
        <v>43364</v>
      </c>
      <c r="B20" t="s">
        <v>6</v>
      </c>
      <c r="C20" s="1" t="s">
        <v>12</v>
      </c>
      <c r="D20">
        <v>12</v>
      </c>
      <c r="E20">
        <v>12</v>
      </c>
      <c r="F20">
        <f t="shared" ref="F20:F27" si="2">D20*E20</f>
        <v>144</v>
      </c>
    </row>
    <row r="21" spans="1:6" outlineLevel="2" x14ac:dyDescent="0.2">
      <c r="A21" s="1">
        <v>43364</v>
      </c>
      <c r="B21" t="s">
        <v>8</v>
      </c>
      <c r="C21" s="1" t="s">
        <v>11</v>
      </c>
      <c r="D21">
        <v>13</v>
      </c>
      <c r="E21">
        <v>17</v>
      </c>
      <c r="F21">
        <f t="shared" si="2"/>
        <v>221</v>
      </c>
    </row>
    <row r="22" spans="1:6" outlineLevel="2" x14ac:dyDescent="0.2">
      <c r="A22" s="1">
        <v>43364</v>
      </c>
      <c r="B22" t="s">
        <v>8</v>
      </c>
      <c r="C22" s="1" t="s">
        <v>9</v>
      </c>
      <c r="D22">
        <v>18</v>
      </c>
      <c r="E22">
        <v>15</v>
      </c>
      <c r="F22">
        <f t="shared" si="2"/>
        <v>270</v>
      </c>
    </row>
    <row r="23" spans="1:6" outlineLevel="2" x14ac:dyDescent="0.2">
      <c r="A23" s="1">
        <v>43364</v>
      </c>
      <c r="B23" t="s">
        <v>8</v>
      </c>
      <c r="C23" s="1" t="s">
        <v>10</v>
      </c>
      <c r="D23">
        <v>22</v>
      </c>
      <c r="E23">
        <v>13</v>
      </c>
      <c r="F23">
        <f t="shared" si="2"/>
        <v>286</v>
      </c>
    </row>
    <row r="24" spans="1:6" outlineLevel="2" x14ac:dyDescent="0.2">
      <c r="A24" s="1">
        <v>43364</v>
      </c>
      <c r="B24" t="s">
        <v>7</v>
      </c>
      <c r="C24" s="1" t="s">
        <v>13</v>
      </c>
      <c r="D24">
        <v>50</v>
      </c>
      <c r="E24">
        <v>16</v>
      </c>
      <c r="F24">
        <f t="shared" si="2"/>
        <v>800</v>
      </c>
    </row>
    <row r="25" spans="1:6" outlineLevel="2" x14ac:dyDescent="0.2">
      <c r="A25" s="1">
        <v>43364</v>
      </c>
      <c r="B25" t="s">
        <v>8</v>
      </c>
      <c r="C25" s="1" t="s">
        <v>13</v>
      </c>
      <c r="D25">
        <v>53</v>
      </c>
      <c r="E25">
        <v>20</v>
      </c>
      <c r="F25">
        <f t="shared" si="2"/>
        <v>1060</v>
      </c>
    </row>
    <row r="26" spans="1:6" outlineLevel="2" x14ac:dyDescent="0.2">
      <c r="A26" s="1">
        <v>43364</v>
      </c>
      <c r="B26" t="s">
        <v>7</v>
      </c>
      <c r="C26" s="1" t="s">
        <v>11</v>
      </c>
      <c r="D26">
        <v>50</v>
      </c>
      <c r="E26">
        <v>23</v>
      </c>
      <c r="F26">
        <f t="shared" si="2"/>
        <v>1150</v>
      </c>
    </row>
    <row r="27" spans="1:6" outlineLevel="2" x14ac:dyDescent="0.2">
      <c r="A27" s="1">
        <v>43364</v>
      </c>
      <c r="B27" t="s">
        <v>6</v>
      </c>
      <c r="C27" s="1" t="s">
        <v>13</v>
      </c>
      <c r="D27">
        <v>55</v>
      </c>
      <c r="E27">
        <v>22</v>
      </c>
      <c r="F27">
        <f t="shared" si="2"/>
        <v>1210</v>
      </c>
    </row>
    <row r="28" spans="1:6" outlineLevel="1" x14ac:dyDescent="0.2">
      <c r="A28" s="3" t="s">
        <v>16</v>
      </c>
      <c r="C28" s="1"/>
      <c r="F28">
        <f>SUBTOTAL(9,F20:F27)</f>
        <v>5141</v>
      </c>
    </row>
    <row r="29" spans="1:6" x14ac:dyDescent="0.2">
      <c r="A29" s="3" t="s">
        <v>17</v>
      </c>
      <c r="C29" s="1"/>
      <c r="F29">
        <f>SUBTOTAL(9,F2:F27)</f>
        <v>10099</v>
      </c>
    </row>
    <row r="30" spans="1:6" x14ac:dyDescent="0.2">
      <c r="A30" s="1"/>
      <c r="C30" s="1"/>
    </row>
    <row r="31" spans="1:6" x14ac:dyDescent="0.2">
      <c r="A31" s="1"/>
      <c r="C31" s="1"/>
    </row>
    <row r="32" spans="1:6" x14ac:dyDescent="0.2">
      <c r="A32" s="1"/>
      <c r="C32" s="1"/>
    </row>
    <row r="33" spans="1:7" x14ac:dyDescent="0.2">
      <c r="A33" s="1"/>
      <c r="C33" s="1"/>
    </row>
    <row r="34" spans="1:7" x14ac:dyDescent="0.2">
      <c r="A34" s="1"/>
      <c r="B34" s="2"/>
      <c r="G34" s="1"/>
    </row>
    <row r="35" spans="1:7" x14ac:dyDescent="0.2">
      <c r="A35" s="1"/>
      <c r="B35" s="2"/>
      <c r="G35" s="1"/>
    </row>
    <row r="36" spans="1:7" x14ac:dyDescent="0.2">
      <c r="G36" s="1"/>
    </row>
    <row r="37" spans="1:7" x14ac:dyDescent="0.2">
      <c r="G37" s="1"/>
    </row>
    <row r="38" spans="1:7" x14ac:dyDescent="0.2">
      <c r="G38" s="1"/>
    </row>
    <row r="39" spans="1:7" x14ac:dyDescent="0.2">
      <c r="G39" s="1"/>
    </row>
    <row r="40" spans="1:7" x14ac:dyDescent="0.2">
      <c r="G40" s="1"/>
    </row>
    <row r="41" spans="1:7" x14ac:dyDescent="0.2">
      <c r="G41" s="1"/>
    </row>
  </sheetData>
  <sortState ref="A2:F33">
    <sortCondition ref="C2:C3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B6800-7215-9843-A84D-D828A8FC8043}">
  <sheetPr codeName="Лист3"/>
  <dimension ref="A1:F60"/>
  <sheetViews>
    <sheetView zoomScale="125" workbookViewId="0">
      <selection activeCell="B3" sqref="B3"/>
    </sheetView>
  </sheetViews>
  <sheetFormatPr baseColWidth="10" defaultRowHeight="16" outlineLevelRow="3" x14ac:dyDescent="0.2"/>
  <cols>
    <col min="2" max="2" width="13.8320312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outlineLevel="3" x14ac:dyDescent="0.2">
      <c r="A2" s="1">
        <v>43306</v>
      </c>
      <c r="B2" t="s">
        <v>8</v>
      </c>
      <c r="C2" t="s">
        <v>12</v>
      </c>
      <c r="D2">
        <v>13</v>
      </c>
      <c r="E2">
        <v>9</v>
      </c>
      <c r="F2">
        <f>D2*E2</f>
        <v>117</v>
      </c>
    </row>
    <row r="3" spans="1:6" outlineLevel="2" x14ac:dyDescent="0.2">
      <c r="A3" s="1"/>
      <c r="C3" s="2" t="s">
        <v>31</v>
      </c>
      <c r="F3">
        <f>SUBTOTAL(9,F2:F2)</f>
        <v>117</v>
      </c>
    </row>
    <row r="4" spans="1:6" outlineLevel="3" x14ac:dyDescent="0.2">
      <c r="A4" s="1">
        <v>43306</v>
      </c>
      <c r="B4" t="s">
        <v>8</v>
      </c>
      <c r="C4" t="s">
        <v>10</v>
      </c>
      <c r="D4">
        <v>22</v>
      </c>
      <c r="E4">
        <v>12</v>
      </c>
      <c r="F4">
        <f>D4*E4</f>
        <v>264</v>
      </c>
    </row>
    <row r="5" spans="1:6" outlineLevel="3" x14ac:dyDescent="0.2">
      <c r="A5" s="1">
        <v>43306</v>
      </c>
      <c r="B5" t="s">
        <v>8</v>
      </c>
      <c r="C5" t="s">
        <v>10</v>
      </c>
      <c r="D5">
        <v>22</v>
      </c>
      <c r="E5">
        <v>16</v>
      </c>
      <c r="F5">
        <f>D5*E5</f>
        <v>352</v>
      </c>
    </row>
    <row r="6" spans="1:6" outlineLevel="3" x14ac:dyDescent="0.2">
      <c r="A6" s="1">
        <v>43364</v>
      </c>
      <c r="B6" t="s">
        <v>8</v>
      </c>
      <c r="C6" t="s">
        <v>10</v>
      </c>
      <c r="D6">
        <v>22</v>
      </c>
      <c r="E6">
        <v>13</v>
      </c>
      <c r="F6">
        <f>D6*E6</f>
        <v>286</v>
      </c>
    </row>
    <row r="7" spans="1:6" outlineLevel="2" x14ac:dyDescent="0.2">
      <c r="A7" s="1"/>
      <c r="C7" s="2" t="s">
        <v>32</v>
      </c>
      <c r="F7">
        <f>SUBTOTAL(9,F4:F6)</f>
        <v>902</v>
      </c>
    </row>
    <row r="8" spans="1:6" outlineLevel="3" x14ac:dyDescent="0.2">
      <c r="A8" s="1">
        <v>43364</v>
      </c>
      <c r="B8" t="s">
        <v>8</v>
      </c>
      <c r="C8" t="s">
        <v>13</v>
      </c>
      <c r="D8">
        <v>53</v>
      </c>
      <c r="E8">
        <v>20</v>
      </c>
      <c r="F8">
        <f>D8*E8</f>
        <v>1060</v>
      </c>
    </row>
    <row r="9" spans="1:6" outlineLevel="2" x14ac:dyDescent="0.2">
      <c r="A9" s="1"/>
      <c r="C9" s="2" t="s">
        <v>33</v>
      </c>
      <c r="F9">
        <f>SUBTOTAL(9,F8:F8)</f>
        <v>1060</v>
      </c>
    </row>
    <row r="10" spans="1:6" outlineLevel="3" x14ac:dyDescent="0.2">
      <c r="A10" s="1">
        <v>43172</v>
      </c>
      <c r="B10" t="s">
        <v>8</v>
      </c>
      <c r="C10" t="s">
        <v>11</v>
      </c>
      <c r="D10">
        <v>13</v>
      </c>
      <c r="E10">
        <v>9</v>
      </c>
      <c r="F10">
        <f>D10*E10</f>
        <v>117</v>
      </c>
    </row>
    <row r="11" spans="1:6" outlineLevel="3" x14ac:dyDescent="0.2">
      <c r="A11" s="1">
        <v>43306</v>
      </c>
      <c r="B11" t="s">
        <v>8</v>
      </c>
      <c r="C11" t="s">
        <v>11</v>
      </c>
      <c r="D11">
        <v>13</v>
      </c>
      <c r="E11">
        <v>8</v>
      </c>
      <c r="F11">
        <f>D11*E11</f>
        <v>104</v>
      </c>
    </row>
    <row r="12" spans="1:6" outlineLevel="3" x14ac:dyDescent="0.2">
      <c r="A12" s="1">
        <v>43364</v>
      </c>
      <c r="B12" t="s">
        <v>8</v>
      </c>
      <c r="C12" t="s">
        <v>11</v>
      </c>
      <c r="D12">
        <v>13</v>
      </c>
      <c r="E12">
        <v>17</v>
      </c>
      <c r="F12">
        <f>D12*E12</f>
        <v>221</v>
      </c>
    </row>
    <row r="13" spans="1:6" outlineLevel="2" x14ac:dyDescent="0.2">
      <c r="A13" s="1"/>
      <c r="C13" s="2" t="s">
        <v>34</v>
      </c>
      <c r="F13">
        <f>SUBTOTAL(9,F10:F12)</f>
        <v>442</v>
      </c>
    </row>
    <row r="14" spans="1:6" outlineLevel="3" x14ac:dyDescent="0.2">
      <c r="A14" s="1">
        <v>43364</v>
      </c>
      <c r="B14" t="s">
        <v>8</v>
      </c>
      <c r="C14" t="s">
        <v>9</v>
      </c>
      <c r="D14">
        <v>18</v>
      </c>
      <c r="E14">
        <v>15</v>
      </c>
      <c r="F14">
        <f>D14*E14</f>
        <v>270</v>
      </c>
    </row>
    <row r="15" spans="1:6" outlineLevel="2" x14ac:dyDescent="0.2">
      <c r="A15" s="1"/>
      <c r="C15" s="2" t="s">
        <v>35</v>
      </c>
      <c r="F15">
        <f>SUBTOTAL(9,F14:F14)</f>
        <v>270</v>
      </c>
    </row>
    <row r="16" spans="1:6" outlineLevel="1" x14ac:dyDescent="0.2">
      <c r="A16" s="1"/>
      <c r="B16" s="2" t="s">
        <v>18</v>
      </c>
      <c r="F16">
        <f>SUBTOTAL(9,F2:F14)</f>
        <v>2791</v>
      </c>
    </row>
    <row r="17" spans="1:6" outlineLevel="3" x14ac:dyDescent="0.2">
      <c r="A17" s="1">
        <v>43306</v>
      </c>
      <c r="B17" t="s">
        <v>7</v>
      </c>
      <c r="C17" t="s">
        <v>10</v>
      </c>
      <c r="D17">
        <v>23</v>
      </c>
      <c r="E17">
        <v>19</v>
      </c>
      <c r="F17">
        <f>D17*E17</f>
        <v>437</v>
      </c>
    </row>
    <row r="18" spans="1:6" outlineLevel="2" x14ac:dyDescent="0.2">
      <c r="A18" s="1"/>
      <c r="C18" s="2" t="s">
        <v>32</v>
      </c>
      <c r="F18">
        <f>SUBTOTAL(9,F17:F17)</f>
        <v>437</v>
      </c>
    </row>
    <row r="19" spans="1:6" outlineLevel="3" x14ac:dyDescent="0.2">
      <c r="A19" s="1">
        <v>43364</v>
      </c>
      <c r="B19" t="s">
        <v>7</v>
      </c>
      <c r="C19" t="s">
        <v>13</v>
      </c>
      <c r="D19">
        <v>50</v>
      </c>
      <c r="E19">
        <v>16</v>
      </c>
      <c r="F19">
        <f>D19*E19</f>
        <v>800</v>
      </c>
    </row>
    <row r="20" spans="1:6" outlineLevel="2" x14ac:dyDescent="0.2">
      <c r="A20" s="1"/>
      <c r="C20" s="2" t="s">
        <v>33</v>
      </c>
      <c r="F20">
        <f>SUBTOTAL(9,F19:F19)</f>
        <v>800</v>
      </c>
    </row>
    <row r="21" spans="1:6" outlineLevel="3" x14ac:dyDescent="0.2">
      <c r="A21" s="1">
        <v>43172</v>
      </c>
      <c r="B21" t="s">
        <v>7</v>
      </c>
      <c r="C21" t="s">
        <v>11</v>
      </c>
      <c r="D21">
        <v>14</v>
      </c>
      <c r="E21">
        <v>11</v>
      </c>
      <c r="F21">
        <f>D21*E21</f>
        <v>154</v>
      </c>
    </row>
    <row r="22" spans="1:6" outlineLevel="3" x14ac:dyDescent="0.2">
      <c r="A22" s="1">
        <v>43306</v>
      </c>
      <c r="B22" t="s">
        <v>7</v>
      </c>
      <c r="C22" t="s">
        <v>11</v>
      </c>
      <c r="D22">
        <v>14</v>
      </c>
      <c r="E22">
        <v>13</v>
      </c>
      <c r="F22">
        <f>D22*E22</f>
        <v>182</v>
      </c>
    </row>
    <row r="23" spans="1:6" outlineLevel="3" x14ac:dyDescent="0.2">
      <c r="A23" s="1">
        <v>43364</v>
      </c>
      <c r="B23" t="s">
        <v>7</v>
      </c>
      <c r="C23" t="s">
        <v>11</v>
      </c>
      <c r="D23">
        <v>50</v>
      </c>
      <c r="E23">
        <v>23</v>
      </c>
      <c r="F23">
        <f>D23*E23</f>
        <v>1150</v>
      </c>
    </row>
    <row r="24" spans="1:6" outlineLevel="2" x14ac:dyDescent="0.2">
      <c r="A24" s="1"/>
      <c r="C24" s="2" t="s">
        <v>34</v>
      </c>
      <c r="F24">
        <f>SUBTOTAL(9,F21:F23)</f>
        <v>1486</v>
      </c>
    </row>
    <row r="25" spans="1:6" outlineLevel="3" x14ac:dyDescent="0.2">
      <c r="A25" s="1">
        <v>43172</v>
      </c>
      <c r="B25" t="s">
        <v>7</v>
      </c>
      <c r="C25" t="s">
        <v>9</v>
      </c>
      <c r="D25">
        <v>13</v>
      </c>
      <c r="E25">
        <v>18</v>
      </c>
      <c r="F25">
        <f>D25*E25</f>
        <v>234</v>
      </c>
    </row>
    <row r="26" spans="1:6" outlineLevel="3" x14ac:dyDescent="0.2">
      <c r="A26" s="1">
        <v>43306</v>
      </c>
      <c r="B26" t="s">
        <v>7</v>
      </c>
      <c r="C26" t="s">
        <v>9</v>
      </c>
      <c r="D26">
        <v>13</v>
      </c>
      <c r="E26">
        <v>7</v>
      </c>
      <c r="F26">
        <f>D26*E26</f>
        <v>91</v>
      </c>
    </row>
    <row r="27" spans="1:6" outlineLevel="2" x14ac:dyDescent="0.2">
      <c r="A27" s="1"/>
      <c r="C27" s="2" t="s">
        <v>35</v>
      </c>
      <c r="F27">
        <f>SUBTOTAL(9,F25:F26)</f>
        <v>325</v>
      </c>
    </row>
    <row r="28" spans="1:6" outlineLevel="1" x14ac:dyDescent="0.2">
      <c r="A28" s="1"/>
      <c r="B28" s="2" t="s">
        <v>19</v>
      </c>
      <c r="F28">
        <f>SUBTOTAL(9,F17:F26)</f>
        <v>3048</v>
      </c>
    </row>
    <row r="29" spans="1:6" outlineLevel="3" x14ac:dyDescent="0.2">
      <c r="A29" s="1">
        <v>43172</v>
      </c>
      <c r="B29" t="s">
        <v>6</v>
      </c>
      <c r="C29" t="s">
        <v>12</v>
      </c>
      <c r="D29">
        <v>12</v>
      </c>
      <c r="E29">
        <v>13</v>
      </c>
      <c r="F29">
        <f>D29*E29</f>
        <v>156</v>
      </c>
    </row>
    <row r="30" spans="1:6" outlineLevel="3" x14ac:dyDescent="0.2">
      <c r="A30" s="1">
        <v>43364</v>
      </c>
      <c r="B30" t="s">
        <v>6</v>
      </c>
      <c r="C30" t="s">
        <v>12</v>
      </c>
      <c r="D30">
        <v>12</v>
      </c>
      <c r="E30">
        <v>12</v>
      </c>
      <c r="F30">
        <f>D30*E30</f>
        <v>144</v>
      </c>
    </row>
    <row r="31" spans="1:6" outlineLevel="2" x14ac:dyDescent="0.2">
      <c r="A31" s="1"/>
      <c r="C31" s="2" t="s">
        <v>31</v>
      </c>
      <c r="F31">
        <f>SUBTOTAL(9,F29:F30)</f>
        <v>300</v>
      </c>
    </row>
    <row r="32" spans="1:6" outlineLevel="3" x14ac:dyDescent="0.2">
      <c r="A32" s="1">
        <v>43172</v>
      </c>
      <c r="B32" t="s">
        <v>6</v>
      </c>
      <c r="C32" t="s">
        <v>10</v>
      </c>
      <c r="D32">
        <v>25</v>
      </c>
      <c r="E32">
        <v>9</v>
      </c>
      <c r="F32">
        <f>D32*E32</f>
        <v>225</v>
      </c>
    </row>
    <row r="33" spans="1:6" outlineLevel="2" x14ac:dyDescent="0.2">
      <c r="A33" s="1"/>
      <c r="C33" s="2" t="s">
        <v>32</v>
      </c>
      <c r="F33">
        <f>SUBTOTAL(9,F32:F32)</f>
        <v>225</v>
      </c>
    </row>
    <row r="34" spans="1:6" outlineLevel="3" x14ac:dyDescent="0.2">
      <c r="A34" s="1">
        <v>43172</v>
      </c>
      <c r="B34" t="s">
        <v>6</v>
      </c>
      <c r="C34" t="s">
        <v>13</v>
      </c>
      <c r="D34">
        <v>55</v>
      </c>
      <c r="E34">
        <v>17</v>
      </c>
      <c r="F34">
        <f>D34*E34</f>
        <v>935</v>
      </c>
    </row>
    <row r="35" spans="1:6" outlineLevel="3" x14ac:dyDescent="0.2">
      <c r="A35" s="1">
        <v>43172</v>
      </c>
      <c r="B35" t="s">
        <v>6</v>
      </c>
      <c r="C35" t="s">
        <v>13</v>
      </c>
      <c r="D35">
        <v>55</v>
      </c>
      <c r="E35">
        <v>22</v>
      </c>
      <c r="F35">
        <f>D35*E35</f>
        <v>1210</v>
      </c>
    </row>
    <row r="36" spans="1:6" outlineLevel="3" x14ac:dyDescent="0.2">
      <c r="A36" s="1">
        <v>43364</v>
      </c>
      <c r="B36" t="s">
        <v>6</v>
      </c>
      <c r="C36" t="s">
        <v>13</v>
      </c>
      <c r="D36">
        <v>55</v>
      </c>
      <c r="E36">
        <v>22</v>
      </c>
      <c r="F36">
        <f>D36*E36</f>
        <v>1210</v>
      </c>
    </row>
    <row r="37" spans="1:6" outlineLevel="2" x14ac:dyDescent="0.2">
      <c r="A37" s="1"/>
      <c r="C37" s="2" t="s">
        <v>33</v>
      </c>
      <c r="F37">
        <f>SUBTOTAL(9,F34:F36)</f>
        <v>3355</v>
      </c>
    </row>
    <row r="38" spans="1:6" outlineLevel="3" x14ac:dyDescent="0.2">
      <c r="A38" s="1">
        <v>43306</v>
      </c>
      <c r="B38" t="s">
        <v>6</v>
      </c>
      <c r="C38" t="s">
        <v>9</v>
      </c>
      <c r="D38">
        <v>10</v>
      </c>
      <c r="E38">
        <v>15</v>
      </c>
      <c r="F38">
        <f>D38*E38</f>
        <v>150</v>
      </c>
    </row>
    <row r="39" spans="1:6" outlineLevel="3" x14ac:dyDescent="0.2">
      <c r="A39" s="1">
        <v>43306</v>
      </c>
      <c r="B39" t="s">
        <v>6</v>
      </c>
      <c r="C39" t="s">
        <v>9</v>
      </c>
      <c r="D39">
        <v>10</v>
      </c>
      <c r="E39">
        <v>23</v>
      </c>
      <c r="F39">
        <f>D39*E39</f>
        <v>230</v>
      </c>
    </row>
    <row r="40" spans="1:6" outlineLevel="2" x14ac:dyDescent="0.2">
      <c r="A40" s="1"/>
      <c r="C40" s="2" t="s">
        <v>35</v>
      </c>
      <c r="F40">
        <f>SUBTOTAL(9,F38:F39)</f>
        <v>380</v>
      </c>
    </row>
    <row r="41" spans="1:6" outlineLevel="1" x14ac:dyDescent="0.2">
      <c r="A41" s="1"/>
      <c r="B41" s="2" t="s">
        <v>20</v>
      </c>
      <c r="F41">
        <f>SUBTOTAL(9,F29:F39)</f>
        <v>4260</v>
      </c>
    </row>
    <row r="42" spans="1:6" x14ac:dyDescent="0.2">
      <c r="A42" s="1"/>
      <c r="B42" s="2" t="s">
        <v>17</v>
      </c>
      <c r="F42">
        <f>SUBTOTAL(9,F2:F39)</f>
        <v>10099</v>
      </c>
    </row>
    <row r="43" spans="1:6" x14ac:dyDescent="0.2">
      <c r="A43" s="3"/>
      <c r="F43" s="1"/>
    </row>
    <row r="44" spans="1:6" x14ac:dyDescent="0.2">
      <c r="A44" s="1"/>
      <c r="F44" s="1"/>
    </row>
    <row r="45" spans="1:6" x14ac:dyDescent="0.2">
      <c r="A45" s="3"/>
      <c r="F45" s="1"/>
    </row>
    <row r="46" spans="1:6" x14ac:dyDescent="0.2">
      <c r="A46" s="1"/>
      <c r="F46" s="1"/>
    </row>
    <row r="47" spans="1:6" x14ac:dyDescent="0.2">
      <c r="A47" s="3"/>
      <c r="F47" s="1"/>
    </row>
    <row r="48" spans="1:6" x14ac:dyDescent="0.2">
      <c r="A48" s="1"/>
      <c r="F48" s="1"/>
    </row>
    <row r="49" spans="1:1" x14ac:dyDescent="0.2">
      <c r="A49" s="1"/>
    </row>
    <row r="50" spans="1:1" x14ac:dyDescent="0.2">
      <c r="A50" s="1"/>
    </row>
    <row r="51" spans="1:1" x14ac:dyDescent="0.2">
      <c r="A51" s="3"/>
    </row>
    <row r="52" spans="1:1" x14ac:dyDescent="0.2">
      <c r="A52" s="1"/>
    </row>
    <row r="53" spans="1:1" x14ac:dyDescent="0.2">
      <c r="A53" s="3"/>
    </row>
    <row r="54" spans="1:1" x14ac:dyDescent="0.2">
      <c r="A54" s="1"/>
    </row>
    <row r="55" spans="1:1" x14ac:dyDescent="0.2">
      <c r="A55" s="3"/>
    </row>
    <row r="56" spans="1:1" x14ac:dyDescent="0.2">
      <c r="A56" s="1"/>
    </row>
    <row r="57" spans="1:1" x14ac:dyDescent="0.2">
      <c r="A57" s="3"/>
    </row>
    <row r="58" spans="1:1" x14ac:dyDescent="0.2">
      <c r="A58" s="1"/>
    </row>
    <row r="59" spans="1:1" x14ac:dyDescent="0.2">
      <c r="A59" s="3"/>
    </row>
    <row r="60" spans="1:1" x14ac:dyDescent="0.2">
      <c r="A60" s="3"/>
    </row>
  </sheetData>
  <sortState ref="A2:F39">
    <sortCondition ref="B2:B39"/>
    <sortCondition ref="C2:C3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979A4-6F29-4646-80EA-273D353ECB4E}">
  <sheetPr codeName="Лист4"/>
  <dimension ref="A1:R25"/>
  <sheetViews>
    <sheetView tabSelected="1" zoomScale="132" zoomScaleNormal="132" workbookViewId="0">
      <selection activeCell="G17" sqref="G17"/>
    </sheetView>
  </sheetViews>
  <sheetFormatPr baseColWidth="10" defaultRowHeight="16" x14ac:dyDescent="0.2"/>
  <cols>
    <col min="7" max="8" width="24.6640625" bestFit="1" customWidth="1"/>
    <col min="9" max="9" width="20.5" bestFit="1" customWidth="1"/>
    <col min="10" max="10" width="9.1640625" bestFit="1" customWidth="1"/>
    <col min="11" max="11" width="9.5" bestFit="1" customWidth="1"/>
    <col min="12" max="12" width="11.5" bestFit="1" customWidth="1"/>
    <col min="13" max="14" width="24.6640625" bestFit="1" customWidth="1"/>
    <col min="15" max="15" width="20.5" bestFit="1" customWidth="1"/>
    <col min="16" max="16" width="8.33203125" bestFit="1" customWidth="1"/>
    <col min="17" max="17" width="7.5" bestFit="1" customWidth="1"/>
    <col min="18" max="18" width="11.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8" x14ac:dyDescent="0.2">
      <c r="A2" s="1">
        <v>43306</v>
      </c>
      <c r="B2" t="s">
        <v>8</v>
      </c>
      <c r="C2" t="s">
        <v>12</v>
      </c>
      <c r="D2">
        <v>13</v>
      </c>
      <c r="E2">
        <v>9</v>
      </c>
      <c r="F2">
        <f t="shared" ref="F2:F25" si="0">D2*E2</f>
        <v>117</v>
      </c>
      <c r="H2" s="5" t="s">
        <v>22</v>
      </c>
      <c r="I2" s="5" t="s">
        <v>21</v>
      </c>
      <c r="N2" s="5" t="s">
        <v>22</v>
      </c>
      <c r="O2" s="5" t="s">
        <v>21</v>
      </c>
    </row>
    <row r="3" spans="1:18" x14ac:dyDescent="0.2">
      <c r="A3" s="1">
        <v>43364</v>
      </c>
      <c r="B3" t="s">
        <v>6</v>
      </c>
      <c r="C3" t="s">
        <v>12</v>
      </c>
      <c r="D3">
        <v>12</v>
      </c>
      <c r="E3">
        <v>12</v>
      </c>
      <c r="F3">
        <f t="shared" si="0"/>
        <v>144</v>
      </c>
      <c r="H3" s="5" t="s">
        <v>2</v>
      </c>
      <c r="I3" t="s">
        <v>8</v>
      </c>
      <c r="J3" t="s">
        <v>7</v>
      </c>
      <c r="K3" t="s">
        <v>6</v>
      </c>
      <c r="L3" t="s">
        <v>17</v>
      </c>
      <c r="O3" t="s">
        <v>25</v>
      </c>
      <c r="P3" t="s">
        <v>26</v>
      </c>
      <c r="Q3" t="s">
        <v>27</v>
      </c>
      <c r="R3" t="s">
        <v>17</v>
      </c>
    </row>
    <row r="4" spans="1:18" x14ac:dyDescent="0.2">
      <c r="A4" s="1">
        <v>43172</v>
      </c>
      <c r="B4" t="s">
        <v>6</v>
      </c>
      <c r="C4" t="s">
        <v>12</v>
      </c>
      <c r="D4">
        <v>12</v>
      </c>
      <c r="E4">
        <v>13</v>
      </c>
      <c r="F4">
        <f t="shared" si="0"/>
        <v>156</v>
      </c>
      <c r="H4" s="6" t="s">
        <v>12</v>
      </c>
      <c r="I4" s="4">
        <v>117</v>
      </c>
      <c r="J4" s="4"/>
      <c r="K4" s="4">
        <v>300</v>
      </c>
      <c r="L4" s="4">
        <v>417</v>
      </c>
      <c r="N4" s="5" t="s">
        <v>23</v>
      </c>
      <c r="O4" s="1" t="s">
        <v>24</v>
      </c>
      <c r="P4" s="1" t="s">
        <v>28</v>
      </c>
      <c r="Q4" s="1" t="s">
        <v>29</v>
      </c>
    </row>
    <row r="5" spans="1:18" x14ac:dyDescent="0.2">
      <c r="A5" s="1">
        <v>43172</v>
      </c>
      <c r="B5" t="s">
        <v>6</v>
      </c>
      <c r="C5" t="s">
        <v>10</v>
      </c>
      <c r="D5">
        <v>25</v>
      </c>
      <c r="E5">
        <v>9</v>
      </c>
      <c r="F5">
        <f>D5*E5</f>
        <v>225</v>
      </c>
      <c r="H5" s="6" t="s">
        <v>10</v>
      </c>
      <c r="I5" s="4">
        <v>902</v>
      </c>
      <c r="J5" s="4">
        <v>437</v>
      </c>
      <c r="K5" s="4">
        <v>225</v>
      </c>
      <c r="L5" s="4">
        <v>1564</v>
      </c>
      <c r="N5" s="6" t="s">
        <v>12</v>
      </c>
      <c r="O5" s="4">
        <v>156</v>
      </c>
      <c r="P5" s="4">
        <v>117</v>
      </c>
      <c r="Q5" s="4">
        <v>144</v>
      </c>
      <c r="R5" s="4">
        <v>417</v>
      </c>
    </row>
    <row r="6" spans="1:18" x14ac:dyDescent="0.2">
      <c r="A6" s="1">
        <v>43306</v>
      </c>
      <c r="B6" t="s">
        <v>8</v>
      </c>
      <c r="C6" t="s">
        <v>10</v>
      </c>
      <c r="D6">
        <v>22</v>
      </c>
      <c r="E6">
        <v>12</v>
      </c>
      <c r="F6">
        <f t="shared" si="0"/>
        <v>264</v>
      </c>
      <c r="H6" s="6" t="s">
        <v>13</v>
      </c>
      <c r="I6" s="4">
        <v>1060</v>
      </c>
      <c r="J6" s="4">
        <v>800</v>
      </c>
      <c r="K6" s="4">
        <v>3355</v>
      </c>
      <c r="L6" s="4">
        <v>5215</v>
      </c>
      <c r="N6" s="7" t="s">
        <v>8</v>
      </c>
      <c r="O6" s="4"/>
      <c r="P6" s="4">
        <v>117</v>
      </c>
      <c r="Q6" s="4"/>
      <c r="R6" s="4">
        <v>117</v>
      </c>
    </row>
    <row r="7" spans="1:18" x14ac:dyDescent="0.2">
      <c r="A7" s="1">
        <v>43364</v>
      </c>
      <c r="B7" t="s">
        <v>8</v>
      </c>
      <c r="C7" t="s">
        <v>10</v>
      </c>
      <c r="D7">
        <v>22</v>
      </c>
      <c r="E7">
        <v>13</v>
      </c>
      <c r="F7">
        <f t="shared" si="0"/>
        <v>286</v>
      </c>
      <c r="H7" s="6" t="s">
        <v>11</v>
      </c>
      <c r="I7" s="4">
        <v>442</v>
      </c>
      <c r="J7" s="4">
        <v>1486</v>
      </c>
      <c r="K7" s="4"/>
      <c r="L7" s="4">
        <v>1928</v>
      </c>
      <c r="N7" s="7" t="s">
        <v>6</v>
      </c>
      <c r="O7" s="4">
        <v>156</v>
      </c>
      <c r="P7" s="4"/>
      <c r="Q7" s="4">
        <v>144</v>
      </c>
      <c r="R7" s="4">
        <v>300</v>
      </c>
    </row>
    <row r="8" spans="1:18" x14ac:dyDescent="0.2">
      <c r="A8" s="1">
        <v>43306</v>
      </c>
      <c r="B8" t="s">
        <v>8</v>
      </c>
      <c r="C8" t="s">
        <v>10</v>
      </c>
      <c r="D8">
        <v>22</v>
      </c>
      <c r="E8">
        <v>16</v>
      </c>
      <c r="F8">
        <f t="shared" si="0"/>
        <v>352</v>
      </c>
      <c r="H8" s="6" t="s">
        <v>9</v>
      </c>
      <c r="I8" s="4">
        <v>270</v>
      </c>
      <c r="J8" s="4">
        <v>325</v>
      </c>
      <c r="K8" s="4">
        <v>380</v>
      </c>
      <c r="L8" s="4">
        <v>975</v>
      </c>
      <c r="N8" s="6" t="s">
        <v>10</v>
      </c>
      <c r="O8" s="4">
        <v>225</v>
      </c>
      <c r="P8" s="4">
        <v>1053</v>
      </c>
      <c r="Q8" s="4">
        <v>286</v>
      </c>
      <c r="R8" s="4">
        <v>1564</v>
      </c>
    </row>
    <row r="9" spans="1:18" x14ac:dyDescent="0.2">
      <c r="A9" s="1">
        <v>43306</v>
      </c>
      <c r="B9" t="s">
        <v>7</v>
      </c>
      <c r="C9" t="s">
        <v>10</v>
      </c>
      <c r="D9">
        <v>23</v>
      </c>
      <c r="E9">
        <v>19</v>
      </c>
      <c r="F9">
        <f t="shared" si="0"/>
        <v>437</v>
      </c>
      <c r="H9" s="6" t="s">
        <v>17</v>
      </c>
      <c r="I9" s="4">
        <v>2791</v>
      </c>
      <c r="J9" s="4">
        <v>3048</v>
      </c>
      <c r="K9" s="4">
        <v>4260</v>
      </c>
      <c r="L9" s="4">
        <v>10099</v>
      </c>
      <c r="N9" s="7" t="s">
        <v>8</v>
      </c>
      <c r="O9" s="4"/>
      <c r="P9" s="4">
        <v>616</v>
      </c>
      <c r="Q9" s="4">
        <v>286</v>
      </c>
      <c r="R9" s="4">
        <v>902</v>
      </c>
    </row>
    <row r="10" spans="1:18" x14ac:dyDescent="0.2">
      <c r="A10" s="1">
        <v>43364</v>
      </c>
      <c r="B10" t="s">
        <v>7</v>
      </c>
      <c r="C10" t="s">
        <v>13</v>
      </c>
      <c r="D10">
        <v>50</v>
      </c>
      <c r="E10">
        <v>16</v>
      </c>
      <c r="F10">
        <f t="shared" si="0"/>
        <v>800</v>
      </c>
      <c r="N10" s="7" t="s">
        <v>7</v>
      </c>
      <c r="O10" s="4"/>
      <c r="P10" s="4">
        <v>437</v>
      </c>
      <c r="Q10" s="4"/>
      <c r="R10" s="4">
        <v>437</v>
      </c>
    </row>
    <row r="11" spans="1:18" x14ac:dyDescent="0.2">
      <c r="A11" s="1">
        <v>43172</v>
      </c>
      <c r="B11" t="s">
        <v>6</v>
      </c>
      <c r="C11" t="s">
        <v>13</v>
      </c>
      <c r="D11">
        <v>55</v>
      </c>
      <c r="E11">
        <v>17</v>
      </c>
      <c r="F11">
        <f t="shared" si="0"/>
        <v>935</v>
      </c>
      <c r="N11" s="7" t="s">
        <v>6</v>
      </c>
      <c r="O11" s="4">
        <v>225</v>
      </c>
      <c r="P11" s="4"/>
      <c r="Q11" s="4"/>
      <c r="R11" s="4">
        <v>225</v>
      </c>
    </row>
    <row r="12" spans="1:18" x14ac:dyDescent="0.2">
      <c r="A12" s="1">
        <v>43364</v>
      </c>
      <c r="B12" t="s">
        <v>8</v>
      </c>
      <c r="C12" t="s">
        <v>13</v>
      </c>
      <c r="D12">
        <v>53</v>
      </c>
      <c r="E12">
        <v>20</v>
      </c>
      <c r="F12">
        <f t="shared" si="0"/>
        <v>1060</v>
      </c>
      <c r="N12" s="6" t="s">
        <v>13</v>
      </c>
      <c r="O12" s="4">
        <v>2145</v>
      </c>
      <c r="P12" s="4"/>
      <c r="Q12" s="4">
        <v>3070</v>
      </c>
      <c r="R12" s="4">
        <v>5215</v>
      </c>
    </row>
    <row r="13" spans="1:18" x14ac:dyDescent="0.2">
      <c r="A13" s="1">
        <v>43172</v>
      </c>
      <c r="B13" t="s">
        <v>6</v>
      </c>
      <c r="C13" t="s">
        <v>13</v>
      </c>
      <c r="D13">
        <v>55</v>
      </c>
      <c r="E13">
        <v>22</v>
      </c>
      <c r="F13">
        <f t="shared" si="0"/>
        <v>1210</v>
      </c>
      <c r="N13" s="7" t="s">
        <v>8</v>
      </c>
      <c r="O13" s="4"/>
      <c r="P13" s="4"/>
      <c r="Q13" s="4">
        <v>1060</v>
      </c>
      <c r="R13" s="4">
        <v>1060</v>
      </c>
    </row>
    <row r="14" spans="1:18" x14ac:dyDescent="0.2">
      <c r="A14" s="1">
        <v>43364</v>
      </c>
      <c r="B14" t="s">
        <v>6</v>
      </c>
      <c r="C14" t="s">
        <v>13</v>
      </c>
      <c r="D14">
        <v>55</v>
      </c>
      <c r="E14">
        <v>22</v>
      </c>
      <c r="F14">
        <f t="shared" si="0"/>
        <v>1210</v>
      </c>
      <c r="N14" s="7" t="s">
        <v>7</v>
      </c>
      <c r="O14" s="4"/>
      <c r="P14" s="4"/>
      <c r="Q14" s="4">
        <v>800</v>
      </c>
      <c r="R14" s="4">
        <v>800</v>
      </c>
    </row>
    <row r="15" spans="1:18" x14ac:dyDescent="0.2">
      <c r="A15" s="1">
        <v>43306</v>
      </c>
      <c r="B15" t="s">
        <v>8</v>
      </c>
      <c r="C15" t="s">
        <v>11</v>
      </c>
      <c r="D15">
        <v>13</v>
      </c>
      <c r="E15">
        <v>8</v>
      </c>
      <c r="F15">
        <f t="shared" si="0"/>
        <v>104</v>
      </c>
      <c r="N15" s="7" t="s">
        <v>6</v>
      </c>
      <c r="O15" s="4">
        <v>2145</v>
      </c>
      <c r="P15" s="4"/>
      <c r="Q15" s="4">
        <v>1210</v>
      </c>
      <c r="R15" s="4">
        <v>3355</v>
      </c>
    </row>
    <row r="16" spans="1:18" x14ac:dyDescent="0.2">
      <c r="A16" s="1">
        <v>43172</v>
      </c>
      <c r="B16" t="s">
        <v>8</v>
      </c>
      <c r="C16" t="s">
        <v>11</v>
      </c>
      <c r="D16">
        <v>13</v>
      </c>
      <c r="E16">
        <v>9</v>
      </c>
      <c r="F16">
        <f t="shared" si="0"/>
        <v>117</v>
      </c>
      <c r="N16" s="6" t="s">
        <v>11</v>
      </c>
      <c r="O16" s="4">
        <v>271</v>
      </c>
      <c r="P16" s="4">
        <v>286</v>
      </c>
      <c r="Q16" s="4">
        <v>1371</v>
      </c>
      <c r="R16" s="4">
        <v>1928</v>
      </c>
    </row>
    <row r="17" spans="1:18" x14ac:dyDescent="0.2">
      <c r="A17" s="1">
        <v>43172</v>
      </c>
      <c r="B17" t="s">
        <v>7</v>
      </c>
      <c r="C17" t="s">
        <v>11</v>
      </c>
      <c r="D17">
        <v>14</v>
      </c>
      <c r="E17">
        <v>11</v>
      </c>
      <c r="F17">
        <f t="shared" si="0"/>
        <v>154</v>
      </c>
      <c r="N17" s="7" t="s">
        <v>8</v>
      </c>
      <c r="O17" s="4">
        <v>117</v>
      </c>
      <c r="P17" s="4">
        <v>104</v>
      </c>
      <c r="Q17" s="4">
        <v>221</v>
      </c>
      <c r="R17" s="4">
        <v>442</v>
      </c>
    </row>
    <row r="18" spans="1:18" x14ac:dyDescent="0.2">
      <c r="A18" s="1">
        <v>43306</v>
      </c>
      <c r="B18" t="s">
        <v>7</v>
      </c>
      <c r="C18" t="s">
        <v>11</v>
      </c>
      <c r="D18">
        <v>14</v>
      </c>
      <c r="E18">
        <v>13</v>
      </c>
      <c r="F18">
        <f t="shared" si="0"/>
        <v>182</v>
      </c>
      <c r="N18" s="7" t="s">
        <v>7</v>
      </c>
      <c r="O18" s="4">
        <v>154</v>
      </c>
      <c r="P18" s="4">
        <v>182</v>
      </c>
      <c r="Q18" s="4">
        <v>1150</v>
      </c>
      <c r="R18" s="4">
        <v>1486</v>
      </c>
    </row>
    <row r="19" spans="1:18" x14ac:dyDescent="0.2">
      <c r="A19" s="1">
        <v>43364</v>
      </c>
      <c r="B19" t="s">
        <v>8</v>
      </c>
      <c r="C19" t="s">
        <v>11</v>
      </c>
      <c r="D19">
        <v>13</v>
      </c>
      <c r="E19">
        <v>17</v>
      </c>
      <c r="F19">
        <f t="shared" si="0"/>
        <v>221</v>
      </c>
      <c r="N19" s="6" t="s">
        <v>9</v>
      </c>
      <c r="O19" s="4">
        <v>234</v>
      </c>
      <c r="P19" s="4">
        <v>471</v>
      </c>
      <c r="Q19" s="4">
        <v>270</v>
      </c>
      <c r="R19" s="4">
        <v>975</v>
      </c>
    </row>
    <row r="20" spans="1:18" x14ac:dyDescent="0.2">
      <c r="A20" s="1">
        <v>43364</v>
      </c>
      <c r="B20" t="s">
        <v>7</v>
      </c>
      <c r="C20" t="s">
        <v>11</v>
      </c>
      <c r="D20">
        <v>50</v>
      </c>
      <c r="E20">
        <v>23</v>
      </c>
      <c r="F20">
        <f t="shared" si="0"/>
        <v>1150</v>
      </c>
      <c r="N20" s="7" t="s">
        <v>8</v>
      </c>
      <c r="O20" s="4"/>
      <c r="P20" s="4"/>
      <c r="Q20" s="4">
        <v>270</v>
      </c>
      <c r="R20" s="4">
        <v>270</v>
      </c>
    </row>
    <row r="21" spans="1:18" x14ac:dyDescent="0.2">
      <c r="A21" s="1">
        <v>43306</v>
      </c>
      <c r="B21" t="s">
        <v>7</v>
      </c>
      <c r="C21" t="s">
        <v>9</v>
      </c>
      <c r="D21">
        <v>13</v>
      </c>
      <c r="E21">
        <v>7</v>
      </c>
      <c r="F21">
        <f t="shared" si="0"/>
        <v>91</v>
      </c>
      <c r="N21" s="7" t="s">
        <v>7</v>
      </c>
      <c r="O21" s="4">
        <v>234</v>
      </c>
      <c r="P21" s="4">
        <v>91</v>
      </c>
      <c r="Q21" s="4"/>
      <c r="R21" s="4">
        <v>325</v>
      </c>
    </row>
    <row r="22" spans="1:18" x14ac:dyDescent="0.2">
      <c r="A22" s="1">
        <v>43306</v>
      </c>
      <c r="B22" t="s">
        <v>6</v>
      </c>
      <c r="C22" t="s">
        <v>9</v>
      </c>
      <c r="D22">
        <v>10</v>
      </c>
      <c r="E22">
        <v>15</v>
      </c>
      <c r="F22">
        <f t="shared" si="0"/>
        <v>150</v>
      </c>
      <c r="N22" s="7" t="s">
        <v>6</v>
      </c>
      <c r="O22" s="4"/>
      <c r="P22" s="4">
        <v>380</v>
      </c>
      <c r="Q22" s="4"/>
      <c r="R22" s="4">
        <v>380</v>
      </c>
    </row>
    <row r="23" spans="1:18" x14ac:dyDescent="0.2">
      <c r="A23" s="1">
        <v>43306</v>
      </c>
      <c r="B23" t="s">
        <v>6</v>
      </c>
      <c r="C23" t="s">
        <v>9</v>
      </c>
      <c r="D23">
        <v>10</v>
      </c>
      <c r="E23">
        <v>23</v>
      </c>
      <c r="F23">
        <f t="shared" si="0"/>
        <v>230</v>
      </c>
      <c r="N23" s="6" t="s">
        <v>17</v>
      </c>
      <c r="O23" s="4">
        <v>3031</v>
      </c>
      <c r="P23" s="4">
        <v>1927</v>
      </c>
      <c r="Q23" s="4">
        <v>5141</v>
      </c>
      <c r="R23" s="4">
        <v>10099</v>
      </c>
    </row>
    <row r="24" spans="1:18" x14ac:dyDescent="0.2">
      <c r="A24" s="1">
        <v>43172</v>
      </c>
      <c r="B24" t="s">
        <v>7</v>
      </c>
      <c r="C24" t="s">
        <v>9</v>
      </c>
      <c r="D24">
        <v>13</v>
      </c>
      <c r="E24">
        <v>18</v>
      </c>
      <c r="F24">
        <f t="shared" si="0"/>
        <v>234</v>
      </c>
    </row>
    <row r="25" spans="1:18" x14ac:dyDescent="0.2">
      <c r="A25" s="1">
        <v>43364</v>
      </c>
      <c r="B25" t="s">
        <v>8</v>
      </c>
      <c r="C25" t="s">
        <v>9</v>
      </c>
      <c r="D25">
        <v>18</v>
      </c>
      <c r="E25">
        <v>15</v>
      </c>
      <c r="F25">
        <f t="shared" si="0"/>
        <v>270</v>
      </c>
    </row>
  </sheetData>
  <sortState ref="A2:F25">
    <sortCondition ref="C2:C25"/>
    <sortCondition ref="F2:F25"/>
    <sortCondition ref="B2:B2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09FD-74C5-3645-9726-64DF41339834}">
  <sheetPr codeName="Лист5"/>
  <dimension ref="G1"/>
  <sheetViews>
    <sheetView zoomScale="115" workbookViewId="0">
      <selection activeCell="F25" sqref="A1:F25"/>
    </sheetView>
  </sheetViews>
  <sheetFormatPr baseColWidth="10" defaultRowHeight="16" x14ac:dyDescent="0.2"/>
  <cols>
    <col min="1" max="1" width="24.83203125" bestFit="1" customWidth="1"/>
    <col min="2" max="2" width="20.5" bestFit="1" customWidth="1"/>
    <col min="3" max="3" width="9.1640625" bestFit="1" customWidth="1"/>
    <col min="4" max="4" width="9.6640625" bestFit="1" customWidth="1"/>
    <col min="5" max="5" width="11.5" bestFit="1" customWidth="1"/>
    <col min="7" max="7" width="33" bestFit="1" customWidth="1"/>
  </cols>
  <sheetData>
    <row r="1" spans="7:7" x14ac:dyDescent="0.2">
      <c r="G1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Лист2</vt:lpstr>
      <vt:lpstr>Лист3</vt:lpstr>
      <vt:lpstr>Сводная таблица</vt:lpstr>
      <vt:lpstr>Макрос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2018-09-11T19:13:35Z</dcterms:created>
  <dcterms:modified xsi:type="dcterms:W3CDTF">2018-09-27T09:50:53Z</dcterms:modified>
</cp:coreProperties>
</file>